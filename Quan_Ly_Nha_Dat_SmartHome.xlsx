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NhaDat" sheetId="1" state="visible" r:id="rId1"/>
    <sheet xmlns:r="http://schemas.openxmlformats.org/officeDocument/2006/relationships" name="BangTraHoaHong" sheetId="2" state="visible" r:id="rId2"/>
  </sheets>
  <definedNames>
    <definedName name="_xlnm._FilterDatabase" localSheetId="0" hidden="1">'DanhSachNhaDat'!$A$1:$F$7</definedName>
    <definedName name="_xlnm._FilterDatabase" localSheetId="1" hidden="1">'BangTraHoaHong'!$A$1:$C$4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C57"/>
        <bgColor rgb="00102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3" customWidth="1" min="3" max="3"/>
    <col width="21" customWidth="1" min="4" max="4"/>
    <col width="51" customWidth="1" min="5" max="5"/>
    <col width="22" customWidth="1" min="6" max="6"/>
  </cols>
  <sheetData>
    <row r="1">
      <c r="A1" s="1" t="inlineStr">
        <is>
          <t>Ma_Bat_Dong_San</t>
        </is>
      </c>
      <c r="B1" s="1" t="inlineStr">
        <is>
          <t>Dia_Chi</t>
        </is>
      </c>
      <c r="C1" s="1" t="inlineStr">
        <is>
          <t>Gia_Thue_Thang_VND</t>
        </is>
      </c>
      <c r="D1" s="1" t="inlineStr">
        <is>
          <t>Ma_Loai_Moi_Gioi</t>
        </is>
      </c>
      <c r="E1" s="1" t="inlineStr">
        <is>
          <t>Ty_Le_Hoa_Hong</t>
        </is>
      </c>
      <c r="F1" s="1" t="inlineStr">
        <is>
          <t>Tien_Hoa_Hong_VND</t>
        </is>
      </c>
    </row>
    <row r="2">
      <c r="A2" t="inlineStr">
        <is>
          <t>BDS001</t>
        </is>
      </c>
      <c r="B2" t="inlineStr">
        <is>
          <t>123 Nguyễn Văn Cừ, Q5</t>
        </is>
      </c>
      <c r="C2" t="n">
        <v>15000000</v>
      </c>
      <c r="D2" t="inlineStr">
        <is>
          <t>MG01</t>
        </is>
      </c>
      <c r="E2" s="2">
        <f>VLOOKUP(D2, BangTraHoaHong!A$2:C$5, 2, FALSE)</f>
        <v/>
      </c>
      <c r="F2">
        <f>C2*E2</f>
        <v/>
      </c>
    </row>
    <row r="3">
      <c r="A3" t="inlineStr">
        <is>
          <t>BDS002</t>
        </is>
      </c>
      <c r="B3" t="inlineStr">
        <is>
          <t>456 Lê Văn Sỹ, Q3</t>
        </is>
      </c>
      <c r="C3" t="n">
        <v>25000000</v>
      </c>
      <c r="D3" t="inlineStr">
        <is>
          <t>MG02</t>
        </is>
      </c>
      <c r="E3" s="2">
        <f>VLOOKUP(D3, BangTraHoaHong!A$2:C$5, 2, FALSE)</f>
        <v/>
      </c>
      <c r="F3">
        <f>C3*E3</f>
        <v/>
      </c>
    </row>
    <row r="4">
      <c r="A4" t="inlineStr">
        <is>
          <t>BDS003</t>
        </is>
      </c>
      <c r="B4" t="inlineStr">
        <is>
          <t>789 Điện Biên Phủ, Bình Thạnh</t>
        </is>
      </c>
      <c r="C4" t="n">
        <v>18000000</v>
      </c>
      <c r="D4" t="inlineStr">
        <is>
          <t>MG01</t>
        </is>
      </c>
      <c r="E4" s="2">
        <f>VLOOKUP(D4, BangTraHoaHong!A$2:C$5, 2, FALSE)</f>
        <v/>
      </c>
      <c r="F4">
        <f>C4*E4</f>
        <v/>
      </c>
    </row>
    <row r="5">
      <c r="A5" t="inlineStr">
        <is>
          <t>BDS004</t>
        </is>
      </c>
      <c r="B5" t="inlineStr">
        <is>
          <t>101 Trần Hưng Đạo, Q1</t>
        </is>
      </c>
      <c r="C5" t="n">
        <v>40000000</v>
      </c>
      <c r="D5" t="inlineStr">
        <is>
          <t>MG03</t>
        </is>
      </c>
      <c r="E5" s="2">
        <f>VLOOKUP(D5, BangTraHoaHong!A$2:C$5, 2, FALSE)</f>
        <v/>
      </c>
      <c r="F5">
        <f>C5*E5</f>
        <v/>
      </c>
    </row>
    <row r="6"/>
    <row r="7">
      <c r="E7" t="inlineStr">
        <is>
          <t>Tổng tiền hoa hồng:</t>
        </is>
      </c>
      <c r="F7">
        <f>SUM(F2:F5)</f>
        <v/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3" customWidth="1" min="3" max="3"/>
  </cols>
  <sheetData>
    <row r="1">
      <c r="A1" s="1" t="inlineStr">
        <is>
          <t>Ma_Loai_Moi_Gioi</t>
        </is>
      </c>
      <c r="B1" s="1" t="inlineStr">
        <is>
          <t>Ty_Le_Hoa_Hong</t>
        </is>
      </c>
      <c r="C1" s="1" t="inlineStr">
        <is>
          <t>Cap_Do_Moi_Gioi</t>
        </is>
      </c>
    </row>
    <row r="2">
      <c r="A2" t="inlineStr">
        <is>
          <t>MG01</t>
        </is>
      </c>
      <c r="B2" s="2" t="n">
        <v>0.05</v>
      </c>
      <c r="C2" t="inlineStr">
        <is>
          <t>Môi giới Vàng</t>
        </is>
      </c>
    </row>
    <row r="3">
      <c r="A3" t="inlineStr">
        <is>
          <t>MG02</t>
        </is>
      </c>
      <c r="B3" s="2" t="n">
        <v>0.08</v>
      </c>
      <c r="C3" t="inlineStr">
        <is>
          <t>Môi giới Kim Cương</t>
        </is>
      </c>
    </row>
    <row r="4">
      <c r="A4" t="inlineStr">
        <is>
          <t>MG03</t>
        </is>
      </c>
      <c r="B4" s="2" t="n">
        <v>0.1</v>
      </c>
      <c r="C4" t="inlineStr">
        <is>
          <t>Đối tác Chiến lược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2026-10-27T03:59:23Z</dcterms:created>
  <dcterms:modified xmlns:dcterms="http://purl.org/dc/terms/" xmlns:xsi="http://www.w3.org/2001/XMLSchema-instance" xsi:type="dcterms:W3CDTF">2026-10-27T03:59:23Z</dcterms:modified>
</cp:coreProperties>
</file>